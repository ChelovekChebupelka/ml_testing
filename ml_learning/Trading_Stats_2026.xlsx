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lon\Documents\"/>
    </mc:Choice>
  </mc:AlternateContent>
  <xr:revisionPtr revIDLastSave="0" documentId="13_ncr:1_{4AE850AD-807B-4CBD-A1A1-7D2F3841E9D9}" xr6:coauthVersionLast="47" xr6:coauthVersionMax="47" xr10:uidLastSave="{00000000-0000-0000-0000-000000000000}"/>
  <bookViews>
    <workbookView xWindow="-120" yWindow="-120" windowWidth="29040" windowHeight="15720" xr2:uid="{7E77A487-CF2F-46F3-AE8F-CDADA89E156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0" i="1" l="1"/>
  <c r="P41" i="1"/>
  <c r="N49" i="1"/>
  <c r="N48" i="1"/>
  <c r="D51" i="1"/>
  <c r="D42" i="1"/>
  <c r="D43" i="1"/>
  <c r="D44" i="1"/>
  <c r="D45" i="1"/>
  <c r="D46" i="1"/>
  <c r="D47" i="1"/>
  <c r="D48" i="1"/>
  <c r="D49" i="1"/>
  <c r="D50" i="1"/>
  <c r="N2" i="1"/>
  <c r="N3" i="1" s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D37" i="1"/>
  <c r="D38" i="1"/>
  <c r="D39" i="1"/>
  <c r="D40" i="1"/>
  <c r="D41" i="1"/>
  <c r="D32" i="1"/>
  <c r="D33" i="1"/>
  <c r="D34" i="1"/>
  <c r="D35" i="1"/>
  <c r="D36" i="1"/>
  <c r="Q34" i="1"/>
  <c r="Y29" i="1"/>
  <c r="W29" i="1"/>
  <c r="X30" i="1" s="1"/>
  <c r="Q29" i="1"/>
  <c r="R30" i="1" s="1"/>
  <c r="S29" i="1"/>
  <c r="Q23" i="1"/>
  <c r="R25" i="1" s="1"/>
  <c r="W23" i="1"/>
  <c r="X25" i="1" s="1"/>
  <c r="Y23" i="1"/>
  <c r="S23" i="1"/>
  <c r="D27" i="1"/>
  <c r="D28" i="1"/>
  <c r="D29" i="1"/>
  <c r="D30" i="1"/>
  <c r="D31" i="1"/>
  <c r="D24" i="1"/>
  <c r="D25" i="1"/>
  <c r="D26" i="1"/>
  <c r="D22" i="1"/>
  <c r="D23" i="1"/>
  <c r="Q8" i="1"/>
  <c r="D12" i="1"/>
  <c r="D13" i="1"/>
  <c r="D14" i="1"/>
  <c r="D15" i="1"/>
  <c r="D16" i="1"/>
  <c r="D17" i="1"/>
  <c r="D18" i="1"/>
  <c r="D19" i="1"/>
  <c r="D20" i="1"/>
  <c r="D21" i="1"/>
  <c r="D3" i="1"/>
  <c r="D4" i="1"/>
  <c r="D5" i="1"/>
  <c r="D6" i="1"/>
  <c r="D7" i="1"/>
  <c r="D8" i="1"/>
  <c r="D9" i="1"/>
  <c r="D10" i="1"/>
  <c r="D11" i="1"/>
  <c r="D2" i="1"/>
  <c r="V15" i="1" l="1"/>
  <c r="P15" i="1"/>
  <c r="S18" i="1" s="1"/>
</calcChain>
</file>

<file path=xl/sharedStrings.xml><?xml version="1.0" encoding="utf-8"?>
<sst xmlns="http://schemas.openxmlformats.org/spreadsheetml/2006/main" count="166" uniqueCount="26">
  <si>
    <t>Номер сделки</t>
  </si>
  <si>
    <t>Тейк</t>
  </si>
  <si>
    <t xml:space="preserve">Риск </t>
  </si>
  <si>
    <t>Тейк/Риск</t>
  </si>
  <si>
    <t>Итоговый Pnl%</t>
  </si>
  <si>
    <t>Тип сделки(short/long)</t>
  </si>
  <si>
    <t>Какой принцип входа в сделку</t>
  </si>
  <si>
    <t>Валютная пара</t>
  </si>
  <si>
    <t>Время входа</t>
  </si>
  <si>
    <t>Время выхода</t>
  </si>
  <si>
    <t>short</t>
  </si>
  <si>
    <t>BTC/USDT</t>
  </si>
  <si>
    <t>AH/HL</t>
  </si>
  <si>
    <t>Исход сделки</t>
  </si>
  <si>
    <t>long</t>
  </si>
  <si>
    <t>Дата</t>
  </si>
  <si>
    <t>news(trump NY)</t>
  </si>
  <si>
    <t xml:space="preserve">trend </t>
  </si>
  <si>
    <t>start 10</t>
  </si>
  <si>
    <t>TOTAL+</t>
  </si>
  <si>
    <t>AH/HL(ЛИКВИДАЦИЯ ИЗ-ЗА НОВОСТЕЙ,КОТОРЫЕ НЕ УВИДИЛ)</t>
  </si>
  <si>
    <t>КОЛЛИЧЕСТВО ПЛОХИХ СТОПОВ</t>
  </si>
  <si>
    <t>КОЛЛИЧЕСТВО ЗАВЫШЕННЫХ ТЕЙКОВ</t>
  </si>
  <si>
    <t>КОЛЛИЧЕСТВО ПРАВИЛЬНЫХ СДЕЛОК</t>
  </si>
  <si>
    <t>КОЛЛИЧЕСТВО ПЛОХИХ ВХОДОВ</t>
  </si>
  <si>
    <t xml:space="preserve">Колличество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</si>
</sst>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4" fillId="0" borderId="0" applyFont="0" applyFill="0" applyBorder="0" applyAlignment="0" applyProtection="0"/>
  </cellStyleXfs>
  <cellXfs count="12">
    <xf numFmtId="0" fontId="0" fillId="0" borderId="0" xfId="0"/>
    <xf numFmtId="20" fontId="0" fillId="0" borderId="0" xfId="0" applyNumberFormat="1"/>
    <xf numFmtId="14" fontId="0" fillId="0" borderId="0" xfId="0" applyNumberFormat="1"/>
    <xf numFmtId="0" fontId="1" fillId="2" borderId="0" xfId="1"/>
    <xf numFmtId="0" fontId="2" fillId="3" borderId="0" xfId="2"/>
    <xf numFmtId="9" fontId="0" fillId="0" borderId="0" xfId="4" applyFont="1"/>
    <xf numFmtId="0" fontId="0" fillId="0" borderId="0" xfId="0" applyAlignment="1">
      <alignment horizontal="center"/>
    </xf>
    <xf numFmtId="9" fontId="1" fillId="2" borderId="0" xfId="1" applyNumberFormat="1" applyAlignment="1">
      <alignment horizontal="center"/>
    </xf>
    <xf numFmtId="0" fontId="3" fillId="4" borderId="0" xfId="3" applyBorder="1" applyAlignment="1">
      <alignment horizontal="center"/>
    </xf>
    <xf numFmtId="9" fontId="3" fillId="4" borderId="0" xfId="3" applyNumberFormat="1" applyAlignment="1">
      <alignment horizontal="center"/>
    </xf>
    <xf numFmtId="0" fontId="3" fillId="4" borderId="0" xfId="3" applyAlignment="1">
      <alignment horizontal="center"/>
    </xf>
    <xf numFmtId="0" fontId="1" fillId="2" borderId="0" xfId="1" applyAlignment="1">
      <alignment horizontal="center"/>
    </xf>
  </cellXfs>
  <cellStyles count="5">
    <cellStyle name="Нейтральный" xfId="2" builtinId="28"/>
    <cellStyle name="Обычный" xfId="0" builtinId="0"/>
    <cellStyle name="Плохой" xfId="3" builtinId="27"/>
    <cellStyle name="Процентный" xfId="4" builtinId="5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41582599109306E-2"/>
          <c:y val="6.4154273363140044E-2"/>
          <c:w val="0.94406390985367516"/>
          <c:h val="0.91862795419970844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[$$-540A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Лист1!$A$2:$A$50</c:f>
              <c:numCache>
                <c:formatCode>General</c:formatCode>
                <c:ptCount val="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</c:numCache>
            </c:numRef>
          </c:cat>
          <c:val>
            <c:numRef>
              <c:f>Лист1!$N$2:$N$50</c:f>
              <c:numCache>
                <c:formatCode>General</c:formatCode>
                <c:ptCount val="49"/>
                <c:pt idx="0">
                  <c:v>0.16</c:v>
                </c:pt>
                <c:pt idx="1">
                  <c:v>0.29000000000000004</c:v>
                </c:pt>
                <c:pt idx="2">
                  <c:v>0.57000000000000006</c:v>
                </c:pt>
                <c:pt idx="3">
                  <c:v>0.49000000000000005</c:v>
                </c:pt>
                <c:pt idx="4">
                  <c:v>1.02</c:v>
                </c:pt>
                <c:pt idx="5">
                  <c:v>1.26</c:v>
                </c:pt>
                <c:pt idx="6">
                  <c:v>1.72</c:v>
                </c:pt>
                <c:pt idx="7">
                  <c:v>3.37</c:v>
                </c:pt>
                <c:pt idx="8">
                  <c:v>5.28</c:v>
                </c:pt>
                <c:pt idx="9">
                  <c:v>5.37</c:v>
                </c:pt>
                <c:pt idx="10">
                  <c:v>5.85</c:v>
                </c:pt>
                <c:pt idx="11">
                  <c:v>4.0199999999999996</c:v>
                </c:pt>
                <c:pt idx="12">
                  <c:v>2.8999999999999995</c:v>
                </c:pt>
                <c:pt idx="13">
                  <c:v>7.7099999999999991</c:v>
                </c:pt>
                <c:pt idx="14">
                  <c:v>9.3299999999999983</c:v>
                </c:pt>
                <c:pt idx="15">
                  <c:v>11.219999999999999</c:v>
                </c:pt>
                <c:pt idx="16">
                  <c:v>16.239999999999998</c:v>
                </c:pt>
                <c:pt idx="17">
                  <c:v>17.809999999999999</c:v>
                </c:pt>
                <c:pt idx="18">
                  <c:v>19.82</c:v>
                </c:pt>
                <c:pt idx="19">
                  <c:v>25.91</c:v>
                </c:pt>
                <c:pt idx="20">
                  <c:v>27.56</c:v>
                </c:pt>
                <c:pt idx="21">
                  <c:v>-9.1999999999999993</c:v>
                </c:pt>
                <c:pt idx="22">
                  <c:v>-10.6</c:v>
                </c:pt>
                <c:pt idx="23">
                  <c:v>27.42</c:v>
                </c:pt>
                <c:pt idx="24">
                  <c:v>22.69</c:v>
                </c:pt>
                <c:pt idx="25">
                  <c:v>16.020000000000003</c:v>
                </c:pt>
                <c:pt idx="26">
                  <c:v>1.4600000000000026</c:v>
                </c:pt>
                <c:pt idx="27">
                  <c:v>-3.5699999999999976</c:v>
                </c:pt>
                <c:pt idx="28">
                  <c:v>-8.7499999999999964</c:v>
                </c:pt>
                <c:pt idx="29">
                  <c:v>4.6700000000000035</c:v>
                </c:pt>
                <c:pt idx="30">
                  <c:v>9.4900000000000038</c:v>
                </c:pt>
                <c:pt idx="31">
                  <c:v>12.010000000000003</c:v>
                </c:pt>
                <c:pt idx="32">
                  <c:v>3.6500000000000039</c:v>
                </c:pt>
                <c:pt idx="33">
                  <c:v>-14.179999999999994</c:v>
                </c:pt>
                <c:pt idx="34">
                  <c:v>-5.1399999999999952</c:v>
                </c:pt>
                <c:pt idx="35">
                  <c:v>-12.699999999999996</c:v>
                </c:pt>
                <c:pt idx="36">
                  <c:v>6.5300000000000047</c:v>
                </c:pt>
                <c:pt idx="37">
                  <c:v>-0.23999999999999488</c:v>
                </c:pt>
                <c:pt idx="38">
                  <c:v>-26.509999999999994</c:v>
                </c:pt>
                <c:pt idx="39">
                  <c:v>34.260000000000005</c:v>
                </c:pt>
                <c:pt idx="40">
                  <c:v>35.340000000000003</c:v>
                </c:pt>
                <c:pt idx="41">
                  <c:v>55.49</c:v>
                </c:pt>
                <c:pt idx="42">
                  <c:v>64.960000000000008</c:v>
                </c:pt>
                <c:pt idx="43">
                  <c:v>49.370000000000005</c:v>
                </c:pt>
                <c:pt idx="44">
                  <c:v>96.94</c:v>
                </c:pt>
                <c:pt idx="45">
                  <c:v>92.09</c:v>
                </c:pt>
                <c:pt idx="46">
                  <c:v>123.84</c:v>
                </c:pt>
                <c:pt idx="47">
                  <c:v>123.93</c:v>
                </c:pt>
                <c:pt idx="48">
                  <c:v>168.93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CA-458B-9B5B-F3FEA01D21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8218063"/>
        <c:axId val="78218895"/>
      </c:barChart>
      <c:dateAx>
        <c:axId val="7821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218895"/>
        <c:crosses val="autoZero"/>
        <c:auto val="0"/>
        <c:lblOffset val="100"/>
        <c:baseTimeUnit val="days"/>
      </c:dateAx>
      <c:valAx>
        <c:axId val="7821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218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257737</xdr:colOff>
      <xdr:row>46</xdr:row>
      <xdr:rowOff>67235</xdr:rowOff>
    </xdr:from>
    <xdr:to>
      <xdr:col>30</xdr:col>
      <xdr:colOff>324970</xdr:colOff>
      <xdr:row>70</xdr:row>
      <xdr:rowOff>19049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206B551-B673-4CFD-89EA-1952988F3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D05D1-715A-4A9F-86D6-AFDBD79725BA}">
  <dimension ref="A1:Y51"/>
  <sheetViews>
    <sheetView tabSelected="1" topLeftCell="G22" zoomScale="85" zoomScaleNormal="85" workbookViewId="0">
      <selection activeCell="U42" sqref="U42"/>
    </sheetView>
  </sheetViews>
  <sheetFormatPr defaultRowHeight="15" x14ac:dyDescent="0.25"/>
  <cols>
    <col min="1" max="1" width="14.42578125" customWidth="1"/>
    <col min="2" max="2" width="6.140625" customWidth="1"/>
    <col min="3" max="3" width="6.5703125" customWidth="1"/>
    <col min="4" max="4" width="11.42578125" customWidth="1"/>
    <col min="5" max="5" width="16.7109375" customWidth="1"/>
    <col min="6" max="6" width="22.28515625" customWidth="1"/>
    <col min="7" max="7" width="28.85546875" customWidth="1"/>
    <col min="8" max="8" width="17.85546875" customWidth="1"/>
    <col min="9" max="9" width="14" customWidth="1"/>
    <col min="10" max="10" width="16.140625" customWidth="1"/>
    <col min="11" max="11" width="15.140625" customWidth="1"/>
    <col min="12" max="12" width="16.140625" customWidth="1"/>
  </cols>
  <sheetData>
    <row r="1" spans="1:25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</v>
      </c>
      <c r="L1" t="s">
        <v>15</v>
      </c>
      <c r="N1">
        <v>0</v>
      </c>
    </row>
    <row r="2" spans="1:25" x14ac:dyDescent="0.25">
      <c r="A2">
        <v>1</v>
      </c>
      <c r="B2">
        <v>4</v>
      </c>
      <c r="C2">
        <v>2</v>
      </c>
      <c r="D2">
        <f>IF(E2&gt;0,E2/B2,C2/ABS(E2))</f>
        <v>4.08</v>
      </c>
      <c r="E2">
        <v>16.32</v>
      </c>
      <c r="F2" t="s">
        <v>10</v>
      </c>
      <c r="G2" t="s">
        <v>12</v>
      </c>
      <c r="H2" t="s">
        <v>11</v>
      </c>
      <c r="I2" s="1">
        <v>0.88611111111111107</v>
      </c>
      <c r="J2" s="1">
        <v>0.8930555555555556</v>
      </c>
      <c r="K2">
        <v>0.16</v>
      </c>
      <c r="L2" s="2">
        <v>46063</v>
      </c>
      <c r="N2">
        <f>SUM(K2,N1)</f>
        <v>0.16</v>
      </c>
    </row>
    <row r="3" spans="1:25" x14ac:dyDescent="0.25">
      <c r="A3">
        <v>2</v>
      </c>
      <c r="B3">
        <v>4</v>
      </c>
      <c r="C3">
        <v>2</v>
      </c>
      <c r="D3">
        <f t="shared" ref="D3:D21" si="0">IF(E3&gt;0,E3/B3,C3/ABS(E3))</f>
        <v>0.64500000000000002</v>
      </c>
      <c r="E3">
        <v>2.58</v>
      </c>
      <c r="F3" t="s">
        <v>14</v>
      </c>
      <c r="G3" t="s">
        <v>12</v>
      </c>
      <c r="H3" t="s">
        <v>11</v>
      </c>
      <c r="I3" s="1">
        <v>0.61388888888888893</v>
      </c>
      <c r="J3" s="1">
        <v>0.61805555555555558</v>
      </c>
      <c r="K3">
        <v>0.13</v>
      </c>
      <c r="L3" s="2">
        <v>46063</v>
      </c>
      <c r="N3">
        <f t="shared" ref="N3:N46" si="1">SUM(K3,N2)</f>
        <v>0.29000000000000004</v>
      </c>
      <c r="Q3" s="4" t="s">
        <v>18</v>
      </c>
    </row>
    <row r="4" spans="1:25" x14ac:dyDescent="0.25">
      <c r="A4">
        <v>3</v>
      </c>
      <c r="B4">
        <v>4</v>
      </c>
      <c r="C4">
        <v>2</v>
      </c>
      <c r="D4">
        <f t="shared" si="0"/>
        <v>1.3625</v>
      </c>
      <c r="E4">
        <v>5.45</v>
      </c>
      <c r="F4" t="s">
        <v>10</v>
      </c>
      <c r="G4" t="s">
        <v>12</v>
      </c>
      <c r="H4" t="s">
        <v>11</v>
      </c>
      <c r="I4" s="1">
        <v>0.69097222222222221</v>
      </c>
      <c r="J4" s="1">
        <v>0.69166666666666665</v>
      </c>
      <c r="K4">
        <v>0.28000000000000003</v>
      </c>
      <c r="L4" s="2">
        <v>46063</v>
      </c>
      <c r="N4">
        <f t="shared" si="1"/>
        <v>0.57000000000000006</v>
      </c>
    </row>
    <row r="5" spans="1:25" x14ac:dyDescent="0.25">
      <c r="A5">
        <v>4</v>
      </c>
      <c r="B5">
        <v>4</v>
      </c>
      <c r="C5">
        <v>2</v>
      </c>
      <c r="D5">
        <f t="shared" si="0"/>
        <v>0.77220077220077221</v>
      </c>
      <c r="E5">
        <v>-2.59</v>
      </c>
      <c r="F5" t="s">
        <v>10</v>
      </c>
      <c r="G5" t="s">
        <v>12</v>
      </c>
      <c r="H5" t="s">
        <v>11</v>
      </c>
      <c r="I5" s="1">
        <v>0.69374999999999998</v>
      </c>
      <c r="J5" s="1">
        <v>0.69513888888888886</v>
      </c>
      <c r="K5">
        <v>-0.08</v>
      </c>
      <c r="L5" s="2">
        <v>46063</v>
      </c>
      <c r="N5">
        <f t="shared" si="1"/>
        <v>0.49000000000000005</v>
      </c>
    </row>
    <row r="6" spans="1:25" x14ac:dyDescent="0.25">
      <c r="A6">
        <v>5</v>
      </c>
      <c r="B6">
        <v>4</v>
      </c>
      <c r="C6">
        <v>2</v>
      </c>
      <c r="D6">
        <f t="shared" si="0"/>
        <v>2.4950000000000001</v>
      </c>
      <c r="E6">
        <v>9.98</v>
      </c>
      <c r="F6" t="s">
        <v>10</v>
      </c>
      <c r="G6" t="s">
        <v>12</v>
      </c>
      <c r="H6" t="s">
        <v>11</v>
      </c>
      <c r="I6" s="1">
        <v>0.69930555555555551</v>
      </c>
      <c r="J6" s="1">
        <v>0.70138888888888884</v>
      </c>
      <c r="K6">
        <v>0.53</v>
      </c>
      <c r="L6" s="2">
        <v>46063</v>
      </c>
      <c r="N6">
        <f t="shared" si="1"/>
        <v>1.02</v>
      </c>
    </row>
    <row r="7" spans="1:25" x14ac:dyDescent="0.25">
      <c r="A7">
        <v>6</v>
      </c>
      <c r="B7">
        <v>4</v>
      </c>
      <c r="C7">
        <v>2</v>
      </c>
      <c r="D7">
        <f t="shared" si="0"/>
        <v>0.61499999999999999</v>
      </c>
      <c r="E7">
        <v>2.46</v>
      </c>
      <c r="F7" t="s">
        <v>10</v>
      </c>
      <c r="G7" t="s">
        <v>12</v>
      </c>
      <c r="H7" t="s">
        <v>11</v>
      </c>
      <c r="I7" s="1">
        <v>0.72222222222222221</v>
      </c>
      <c r="J7" s="1">
        <v>0.72638888888888886</v>
      </c>
      <c r="K7">
        <v>0.24</v>
      </c>
      <c r="L7" s="2">
        <v>46063</v>
      </c>
      <c r="N7">
        <f t="shared" si="1"/>
        <v>1.26</v>
      </c>
      <c r="Q7" s="3" t="s">
        <v>19</v>
      </c>
    </row>
    <row r="8" spans="1:25" x14ac:dyDescent="0.25">
      <c r="A8">
        <v>7</v>
      </c>
      <c r="B8">
        <v>4</v>
      </c>
      <c r="C8">
        <v>2</v>
      </c>
      <c r="D8">
        <f t="shared" si="0"/>
        <v>1.1525000000000001</v>
      </c>
      <c r="E8">
        <v>4.6100000000000003</v>
      </c>
      <c r="F8" t="s">
        <v>10</v>
      </c>
      <c r="G8" t="s">
        <v>12</v>
      </c>
      <c r="H8" t="s">
        <v>11</v>
      </c>
      <c r="I8" s="1">
        <v>0.73124999999999996</v>
      </c>
      <c r="J8" s="1">
        <v>0.73402777777777772</v>
      </c>
      <c r="K8">
        <v>0.46</v>
      </c>
      <c r="L8" s="2">
        <v>46063</v>
      </c>
      <c r="N8">
        <f t="shared" si="1"/>
        <v>1.72</v>
      </c>
      <c r="Q8" s="3">
        <f>SUM(K:K)</f>
        <v>168.93</v>
      </c>
    </row>
    <row r="9" spans="1:25" x14ac:dyDescent="0.25">
      <c r="A9">
        <v>8</v>
      </c>
      <c r="B9">
        <v>4</v>
      </c>
      <c r="C9">
        <v>2</v>
      </c>
      <c r="D9">
        <f t="shared" si="0"/>
        <v>3.8574999999999999</v>
      </c>
      <c r="E9">
        <v>15.43</v>
      </c>
      <c r="F9" t="s">
        <v>14</v>
      </c>
      <c r="G9" t="s">
        <v>12</v>
      </c>
      <c r="H9" t="s">
        <v>11</v>
      </c>
      <c r="I9" s="1">
        <v>0.73611111111111116</v>
      </c>
      <c r="J9" s="1">
        <v>0.75416666666666665</v>
      </c>
      <c r="K9">
        <v>1.65</v>
      </c>
      <c r="L9" s="2">
        <v>46063</v>
      </c>
      <c r="N9">
        <f t="shared" si="1"/>
        <v>3.37</v>
      </c>
    </row>
    <row r="10" spans="1:25" x14ac:dyDescent="0.25">
      <c r="A10">
        <v>9</v>
      </c>
      <c r="B10">
        <v>4</v>
      </c>
      <c r="C10">
        <v>2</v>
      </c>
      <c r="D10">
        <f t="shared" si="0"/>
        <v>3.95</v>
      </c>
      <c r="E10">
        <v>15.8</v>
      </c>
      <c r="F10" t="s">
        <v>14</v>
      </c>
      <c r="G10" t="s">
        <v>12</v>
      </c>
      <c r="H10" t="s">
        <v>11</v>
      </c>
      <c r="I10" s="1">
        <v>0.85</v>
      </c>
      <c r="J10" s="1">
        <v>7.4305555555555555E-2</v>
      </c>
      <c r="K10">
        <v>1.91</v>
      </c>
      <c r="L10" s="2">
        <v>46066</v>
      </c>
      <c r="N10">
        <f t="shared" si="1"/>
        <v>5.28</v>
      </c>
    </row>
    <row r="11" spans="1:25" x14ac:dyDescent="0.25">
      <c r="A11">
        <v>10</v>
      </c>
      <c r="B11">
        <v>4</v>
      </c>
      <c r="C11">
        <v>2</v>
      </c>
      <c r="D11">
        <f t="shared" si="0"/>
        <v>0.17749999999999999</v>
      </c>
      <c r="E11">
        <v>0.71</v>
      </c>
      <c r="F11" t="s">
        <v>10</v>
      </c>
      <c r="G11" t="s">
        <v>12</v>
      </c>
      <c r="H11" t="s">
        <v>11</v>
      </c>
      <c r="I11" s="1">
        <v>0.94305555555555554</v>
      </c>
      <c r="J11" s="1">
        <v>0.94861111111111107</v>
      </c>
      <c r="K11">
        <v>0.09</v>
      </c>
      <c r="L11" s="2">
        <v>46066</v>
      </c>
      <c r="N11">
        <f t="shared" si="1"/>
        <v>5.37</v>
      </c>
    </row>
    <row r="12" spans="1:25" x14ac:dyDescent="0.25">
      <c r="A12">
        <v>11</v>
      </c>
      <c r="B12">
        <v>4</v>
      </c>
      <c r="C12">
        <v>2</v>
      </c>
      <c r="D12">
        <f t="shared" si="0"/>
        <v>0.84750000000000003</v>
      </c>
      <c r="E12">
        <v>3.39</v>
      </c>
      <c r="F12" t="s">
        <v>10</v>
      </c>
      <c r="G12" t="s">
        <v>12</v>
      </c>
      <c r="H12" t="s">
        <v>11</v>
      </c>
      <c r="I12" s="1">
        <v>0.95277777777777772</v>
      </c>
      <c r="J12" s="1">
        <v>0.36249999999999999</v>
      </c>
      <c r="K12">
        <v>0.48</v>
      </c>
      <c r="L12" s="2">
        <v>46067</v>
      </c>
      <c r="N12">
        <f t="shared" si="1"/>
        <v>5.85</v>
      </c>
    </row>
    <row r="13" spans="1:25" x14ac:dyDescent="0.25">
      <c r="A13">
        <v>12</v>
      </c>
      <c r="B13">
        <v>4</v>
      </c>
      <c r="C13">
        <v>2</v>
      </c>
      <c r="D13">
        <f t="shared" si="0"/>
        <v>0.16155088852988692</v>
      </c>
      <c r="E13">
        <v>-12.38</v>
      </c>
      <c r="F13" t="s">
        <v>14</v>
      </c>
      <c r="G13" t="s">
        <v>12</v>
      </c>
      <c r="H13" t="s">
        <v>11</v>
      </c>
      <c r="I13" s="1">
        <v>6.6666666666666666E-2</v>
      </c>
      <c r="J13" s="1">
        <v>8.4722222222222227E-2</v>
      </c>
      <c r="K13">
        <v>-1.83</v>
      </c>
      <c r="L13" s="2">
        <v>46069</v>
      </c>
      <c r="N13">
        <f t="shared" si="1"/>
        <v>4.0199999999999996</v>
      </c>
    </row>
    <row r="14" spans="1:25" x14ac:dyDescent="0.25">
      <c r="A14">
        <v>13</v>
      </c>
      <c r="B14">
        <v>4</v>
      </c>
      <c r="C14">
        <v>2</v>
      </c>
      <c r="D14">
        <f t="shared" si="0"/>
        <v>0.22962112514351318</v>
      </c>
      <c r="E14">
        <v>-8.7100000000000009</v>
      </c>
      <c r="F14" t="s">
        <v>10</v>
      </c>
      <c r="G14" t="s">
        <v>12</v>
      </c>
      <c r="H14" t="s">
        <v>11</v>
      </c>
      <c r="I14" s="1">
        <v>0.1423611111111111</v>
      </c>
      <c r="J14" s="1">
        <v>0.12638888888888888</v>
      </c>
      <c r="K14">
        <v>-1.1200000000000001</v>
      </c>
      <c r="L14" s="2">
        <v>46069</v>
      </c>
      <c r="N14">
        <f t="shared" si="1"/>
        <v>2.8999999999999995</v>
      </c>
      <c r="P14" s="8" t="s">
        <v>21</v>
      </c>
      <c r="Q14" s="8"/>
      <c r="R14" s="8"/>
      <c r="S14" s="8"/>
      <c r="V14" s="10" t="s">
        <v>22</v>
      </c>
      <c r="W14" s="10"/>
      <c r="X14" s="10"/>
      <c r="Y14" s="10"/>
    </row>
    <row r="15" spans="1:25" x14ac:dyDescent="0.25">
      <c r="A15">
        <v>14</v>
      </c>
      <c r="B15">
        <v>4</v>
      </c>
      <c r="C15">
        <v>2</v>
      </c>
      <c r="D15">
        <f t="shared" si="0"/>
        <v>10.285</v>
      </c>
      <c r="E15">
        <v>41.14</v>
      </c>
      <c r="F15" t="s">
        <v>14</v>
      </c>
      <c r="G15" t="s">
        <v>16</v>
      </c>
      <c r="H15" t="s">
        <v>11</v>
      </c>
      <c r="I15" s="1">
        <v>0.14444444444444443</v>
      </c>
      <c r="J15" s="1">
        <v>0.6430555555555556</v>
      </c>
      <c r="K15">
        <v>4.8099999999999996</v>
      </c>
      <c r="L15" s="2">
        <v>46069</v>
      </c>
      <c r="N15">
        <f t="shared" si="1"/>
        <v>7.7099999999999991</v>
      </c>
      <c r="P15" s="9">
        <f>COUNTIF(D:D,"&lt;1")/COUNT(D:D)</f>
        <v>0.48979591836734693</v>
      </c>
      <c r="Q15" s="9"/>
      <c r="R15" s="9"/>
      <c r="S15" s="9"/>
      <c r="V15" s="9">
        <f>COUNTIF(D:D,"&gt;2")/COUNT(D:D)</f>
        <v>0.36734693877551022</v>
      </c>
      <c r="W15" s="9"/>
      <c r="X15" s="9"/>
      <c r="Y15" s="9"/>
    </row>
    <row r="16" spans="1:25" x14ac:dyDescent="0.25">
      <c r="A16">
        <v>15</v>
      </c>
      <c r="B16">
        <v>4</v>
      </c>
      <c r="C16">
        <v>2</v>
      </c>
      <c r="D16">
        <f t="shared" si="0"/>
        <v>2.46</v>
      </c>
      <c r="E16">
        <v>9.84</v>
      </c>
      <c r="F16" t="s">
        <v>10</v>
      </c>
      <c r="G16" t="s">
        <v>12</v>
      </c>
      <c r="H16" t="s">
        <v>11</v>
      </c>
      <c r="I16" s="1">
        <v>0.77152777777777781</v>
      </c>
      <c r="J16" s="1">
        <v>0.77222222222222225</v>
      </c>
      <c r="K16">
        <v>1.62</v>
      </c>
      <c r="L16" s="2">
        <v>46069</v>
      </c>
      <c r="N16">
        <f t="shared" si="1"/>
        <v>9.3299999999999983</v>
      </c>
    </row>
    <row r="17" spans="1:25" x14ac:dyDescent="0.25">
      <c r="A17">
        <v>16</v>
      </c>
      <c r="B17">
        <v>4</v>
      </c>
      <c r="C17">
        <v>2</v>
      </c>
      <c r="D17">
        <f t="shared" si="0"/>
        <v>2.6150000000000002</v>
      </c>
      <c r="E17">
        <v>10.46</v>
      </c>
      <c r="F17" t="s">
        <v>14</v>
      </c>
      <c r="G17" t="s">
        <v>12</v>
      </c>
      <c r="H17" t="s">
        <v>11</v>
      </c>
      <c r="I17" s="1">
        <v>0.77986111111111112</v>
      </c>
      <c r="J17" s="1">
        <v>0.79722222222222228</v>
      </c>
      <c r="K17">
        <v>1.89</v>
      </c>
      <c r="L17" s="2">
        <v>46069</v>
      </c>
      <c r="N17">
        <f t="shared" si="1"/>
        <v>11.219999999999999</v>
      </c>
      <c r="S17" s="11" t="s">
        <v>23</v>
      </c>
      <c r="T17" s="11"/>
      <c r="U17" s="11"/>
      <c r="V17" s="11"/>
    </row>
    <row r="18" spans="1:25" x14ac:dyDescent="0.25">
      <c r="A18">
        <v>17</v>
      </c>
      <c r="B18">
        <v>4</v>
      </c>
      <c r="C18">
        <v>2</v>
      </c>
      <c r="D18">
        <f t="shared" si="0"/>
        <v>6.31</v>
      </c>
      <c r="E18">
        <v>25.24</v>
      </c>
      <c r="F18" t="s">
        <v>14</v>
      </c>
      <c r="G18" t="s">
        <v>12</v>
      </c>
      <c r="H18" t="s">
        <v>11</v>
      </c>
      <c r="I18" s="1">
        <v>0.77500000000000002</v>
      </c>
      <c r="J18" s="1">
        <v>0.78541666666666665</v>
      </c>
      <c r="K18">
        <v>5.0199999999999996</v>
      </c>
      <c r="L18" s="2">
        <v>46070</v>
      </c>
      <c r="N18">
        <f t="shared" si="1"/>
        <v>16.239999999999998</v>
      </c>
      <c r="S18" s="7">
        <f>100%-P15-V15</f>
        <v>0.14285714285714285</v>
      </c>
      <c r="T18" s="7"/>
      <c r="U18" s="7"/>
      <c r="V18" s="7"/>
    </row>
    <row r="19" spans="1:25" x14ac:dyDescent="0.25">
      <c r="A19">
        <v>18</v>
      </c>
      <c r="B19">
        <v>4</v>
      </c>
      <c r="C19">
        <v>2</v>
      </c>
      <c r="D19">
        <f t="shared" si="0"/>
        <v>1.5725</v>
      </c>
      <c r="E19">
        <v>6.29</v>
      </c>
      <c r="F19" t="s">
        <v>10</v>
      </c>
      <c r="G19" t="s">
        <v>17</v>
      </c>
      <c r="H19" t="s">
        <v>11</v>
      </c>
      <c r="I19" s="1">
        <v>0.95833333333333337</v>
      </c>
      <c r="J19" s="1">
        <v>0.96319444444444446</v>
      </c>
      <c r="K19">
        <v>1.57</v>
      </c>
      <c r="L19" s="2">
        <v>46070</v>
      </c>
      <c r="N19">
        <f t="shared" si="1"/>
        <v>17.809999999999999</v>
      </c>
    </row>
    <row r="20" spans="1:25" x14ac:dyDescent="0.25">
      <c r="A20">
        <v>19</v>
      </c>
      <c r="B20">
        <v>4</v>
      </c>
      <c r="C20">
        <v>2</v>
      </c>
      <c r="D20">
        <f t="shared" si="0"/>
        <v>1.92</v>
      </c>
      <c r="E20">
        <v>7.68</v>
      </c>
      <c r="F20" t="s">
        <v>10</v>
      </c>
      <c r="G20" t="s">
        <v>12</v>
      </c>
      <c r="H20" t="s">
        <v>11</v>
      </c>
      <c r="I20" s="1">
        <v>0.72916666666666663</v>
      </c>
      <c r="J20" s="1">
        <v>0.7416666666666667</v>
      </c>
      <c r="K20">
        <v>2.0099999999999998</v>
      </c>
      <c r="L20" s="2">
        <v>46071</v>
      </c>
      <c r="N20">
        <f t="shared" si="1"/>
        <v>19.82</v>
      </c>
    </row>
    <row r="21" spans="1:25" x14ac:dyDescent="0.25">
      <c r="A21">
        <v>20</v>
      </c>
      <c r="B21">
        <v>4</v>
      </c>
      <c r="C21">
        <v>2</v>
      </c>
      <c r="D21">
        <f t="shared" si="0"/>
        <v>5.39</v>
      </c>
      <c r="E21">
        <v>21.56</v>
      </c>
      <c r="F21" t="s">
        <v>14</v>
      </c>
      <c r="G21" t="s">
        <v>12</v>
      </c>
      <c r="H21" t="s">
        <v>11</v>
      </c>
      <c r="I21" s="1">
        <v>0.74513888888888891</v>
      </c>
      <c r="J21" s="1">
        <v>0.75069444444444444</v>
      </c>
      <c r="K21">
        <v>6.09</v>
      </c>
      <c r="L21" s="2">
        <v>46071</v>
      </c>
      <c r="N21">
        <f t="shared" si="1"/>
        <v>25.91</v>
      </c>
    </row>
    <row r="22" spans="1:25" x14ac:dyDescent="0.25">
      <c r="A22">
        <v>21</v>
      </c>
      <c r="B22">
        <v>4</v>
      </c>
      <c r="C22">
        <v>2</v>
      </c>
      <c r="D22">
        <f t="shared" ref="D22:D23" si="2">IF(E22&gt;0,E22/B22,C22/ABS(E22))</f>
        <v>1.2024999999999999</v>
      </c>
      <c r="E22">
        <v>4.8099999999999996</v>
      </c>
      <c r="F22" t="s">
        <v>10</v>
      </c>
      <c r="G22" t="s">
        <v>12</v>
      </c>
      <c r="H22" t="s">
        <v>11</v>
      </c>
      <c r="I22" s="1">
        <v>0.78055555555555556</v>
      </c>
      <c r="J22" s="1">
        <v>0.78402777777777777</v>
      </c>
      <c r="K22">
        <v>1.65</v>
      </c>
      <c r="L22" s="2">
        <v>46071</v>
      </c>
      <c r="N22">
        <f t="shared" si="1"/>
        <v>27.56</v>
      </c>
      <c r="P22" s="6" t="s">
        <v>24</v>
      </c>
      <c r="Q22" s="6"/>
      <c r="R22" s="6"/>
      <c r="S22" s="6"/>
      <c r="X22" t="s">
        <v>25</v>
      </c>
    </row>
    <row r="23" spans="1:25" x14ac:dyDescent="0.25">
      <c r="A23">
        <v>22</v>
      </c>
      <c r="B23">
        <v>4</v>
      </c>
      <c r="C23">
        <v>2</v>
      </c>
      <c r="D23">
        <f t="shared" si="2"/>
        <v>1.9512195121951219E-2</v>
      </c>
      <c r="E23">
        <v>-102.5</v>
      </c>
      <c r="F23" t="s">
        <v>14</v>
      </c>
      <c r="G23" t="s">
        <v>20</v>
      </c>
      <c r="H23" t="s">
        <v>11</v>
      </c>
      <c r="I23" s="1">
        <v>0.90069444444444446</v>
      </c>
      <c r="J23" s="1">
        <v>0.94305555555555554</v>
      </c>
      <c r="K23">
        <v>-36.76</v>
      </c>
      <c r="L23" s="2">
        <v>46071</v>
      </c>
      <c r="N23">
        <f t="shared" si="1"/>
        <v>-9.1999999999999993</v>
      </c>
      <c r="Q23">
        <f>SUMIFS(K:K,I:I,"&gt;20:00",K:K,"&lt;0") +SUMIFS(K:K,I:I,"&lt;10:00",K:K,"&lt;0")</f>
        <v>-86.25</v>
      </c>
      <c r="S23">
        <f>SUMIFS(K:K,K:K,"&lt;0")</f>
        <v>-164.59</v>
      </c>
      <c r="W23">
        <f>SUMIFS(K:K,I:I,"&gt;20:00",K:K,"&gt;0") +SUMIFS(K:K,I:I,"&lt;10:00",K:K,"&gt;0")</f>
        <v>182.38</v>
      </c>
      <c r="Y23">
        <f>SUMIFS(K:K,K:K,"&gt;0")</f>
        <v>333.52</v>
      </c>
    </row>
    <row r="24" spans="1:25" x14ac:dyDescent="0.25">
      <c r="A24">
        <v>23</v>
      </c>
      <c r="B24">
        <v>4</v>
      </c>
      <c r="C24">
        <v>2</v>
      </c>
      <c r="D24">
        <f t="shared" ref="D24:D31" si="3">IF(E24&gt;0,E24/B24,C24/ABS(E24))</f>
        <v>1.5267175572519083</v>
      </c>
      <c r="E24">
        <v>-1.31</v>
      </c>
      <c r="F24" t="s">
        <v>14</v>
      </c>
      <c r="G24" t="s">
        <v>12</v>
      </c>
      <c r="H24" t="s">
        <v>11</v>
      </c>
      <c r="I24" s="1">
        <v>0.94722222222222219</v>
      </c>
      <c r="J24" s="1">
        <v>0.95347222222222228</v>
      </c>
      <c r="K24">
        <v>-1.4</v>
      </c>
      <c r="L24" s="2">
        <v>46071</v>
      </c>
      <c r="N24">
        <f t="shared" si="1"/>
        <v>-10.6</v>
      </c>
    </row>
    <row r="25" spans="1:25" x14ac:dyDescent="0.25">
      <c r="A25">
        <v>24</v>
      </c>
      <c r="B25">
        <v>4</v>
      </c>
      <c r="C25">
        <v>2</v>
      </c>
      <c r="D25">
        <f t="shared" si="3"/>
        <v>9.1374999999999993</v>
      </c>
      <c r="E25">
        <v>36.549999999999997</v>
      </c>
      <c r="F25" t="s">
        <v>14</v>
      </c>
      <c r="G25" t="s">
        <v>12</v>
      </c>
      <c r="H25" t="s">
        <v>11</v>
      </c>
      <c r="I25" s="1">
        <v>0.98124999999999996</v>
      </c>
      <c r="J25" s="1">
        <v>0.29166666666666669</v>
      </c>
      <c r="K25">
        <v>38.020000000000003</v>
      </c>
      <c r="L25" s="2">
        <v>46071</v>
      </c>
      <c r="N25">
        <f t="shared" si="1"/>
        <v>27.42</v>
      </c>
      <c r="R25" s="5">
        <f>Q23/S23</f>
        <v>0.52402940640379125</v>
      </c>
      <c r="X25">
        <f>W23/Y23</f>
        <v>0.54683377308707126</v>
      </c>
    </row>
    <row r="26" spans="1:25" x14ac:dyDescent="0.25">
      <c r="A26">
        <v>25</v>
      </c>
      <c r="B26">
        <v>4</v>
      </c>
      <c r="C26">
        <v>2</v>
      </c>
      <c r="D26">
        <f t="shared" si="3"/>
        <v>0.16877637130801687</v>
      </c>
      <c r="E26">
        <v>-11.85</v>
      </c>
      <c r="F26" t="s">
        <v>10</v>
      </c>
      <c r="G26" t="s">
        <v>12</v>
      </c>
      <c r="H26" t="s">
        <v>11</v>
      </c>
      <c r="I26" s="1">
        <v>0.88958333333333328</v>
      </c>
      <c r="J26" s="1">
        <v>0.89166666666666672</v>
      </c>
      <c r="K26">
        <v>-4.7300000000000004</v>
      </c>
      <c r="L26" s="2">
        <v>46072</v>
      </c>
      <c r="N26">
        <f t="shared" si="1"/>
        <v>22.69</v>
      </c>
    </row>
    <row r="27" spans="1:25" x14ac:dyDescent="0.25">
      <c r="A27">
        <v>26</v>
      </c>
      <c r="B27">
        <v>4</v>
      </c>
      <c r="C27">
        <v>2</v>
      </c>
      <c r="D27">
        <f t="shared" si="3"/>
        <v>0.10621348911311737</v>
      </c>
      <c r="E27">
        <v>-18.829999999999998</v>
      </c>
      <c r="F27" t="s">
        <v>10</v>
      </c>
      <c r="G27" t="s">
        <v>12</v>
      </c>
      <c r="H27" t="s">
        <v>11</v>
      </c>
      <c r="I27" s="1">
        <v>0.89722222222222225</v>
      </c>
      <c r="J27" s="1">
        <v>0.92152777777777772</v>
      </c>
      <c r="K27">
        <v>-6.67</v>
      </c>
      <c r="L27" s="2">
        <v>46072</v>
      </c>
      <c r="N27">
        <f t="shared" si="1"/>
        <v>16.020000000000003</v>
      </c>
    </row>
    <row r="28" spans="1:25" x14ac:dyDescent="0.25">
      <c r="A28">
        <v>27</v>
      </c>
      <c r="B28">
        <v>4</v>
      </c>
      <c r="C28">
        <v>2</v>
      </c>
      <c r="D28">
        <f t="shared" si="3"/>
        <v>3.9161934599569216E-2</v>
      </c>
      <c r="E28">
        <v>-51.07</v>
      </c>
      <c r="F28" t="s">
        <v>10</v>
      </c>
      <c r="G28" t="s">
        <v>12</v>
      </c>
      <c r="H28" t="s">
        <v>11</v>
      </c>
      <c r="I28" s="1">
        <v>0.92569444444444449</v>
      </c>
      <c r="J28" s="1">
        <v>0.35555555555555557</v>
      </c>
      <c r="K28">
        <v>-14.56</v>
      </c>
      <c r="L28" s="2">
        <v>46072</v>
      </c>
      <c r="N28">
        <f t="shared" si="1"/>
        <v>1.4600000000000026</v>
      </c>
    </row>
    <row r="29" spans="1:25" x14ac:dyDescent="0.25">
      <c r="A29">
        <v>28</v>
      </c>
      <c r="B29">
        <v>4</v>
      </c>
      <c r="C29">
        <v>2</v>
      </c>
      <c r="D29">
        <f t="shared" si="3"/>
        <v>5.6417489421720729E-2</v>
      </c>
      <c r="E29">
        <v>-35.450000000000003</v>
      </c>
      <c r="F29" t="s">
        <v>10</v>
      </c>
      <c r="G29" t="s">
        <v>12</v>
      </c>
      <c r="H29" t="s">
        <v>11</v>
      </c>
      <c r="I29" s="1">
        <v>0.45694444444444443</v>
      </c>
      <c r="J29" s="1">
        <v>0.50138888888888888</v>
      </c>
      <c r="K29">
        <v>-5.03</v>
      </c>
      <c r="L29" s="2">
        <v>46073</v>
      </c>
      <c r="N29">
        <f t="shared" si="1"/>
        <v>-3.5699999999999976</v>
      </c>
      <c r="Q29">
        <f>COUNTIFS(I:I,"&gt;20:00",K:K,"&lt;0") +COUNTIFS(I:I,"&lt;10:00",K:K,"&lt;0")</f>
        <v>10</v>
      </c>
      <c r="S29">
        <f>COUNTIFS(K:K,"&lt;0")</f>
        <v>17</v>
      </c>
      <c r="W29">
        <f>COUNTIFS(I:I,"&gt;20:00",K:K,"&gt;0") +COUNTIFS(I:I,"&lt;10:00",K:K,"&gt;0")</f>
        <v>13</v>
      </c>
      <c r="Y29">
        <f>COUNTIFS(K:K,"&gt;0")</f>
        <v>32</v>
      </c>
    </row>
    <row r="30" spans="1:25" x14ac:dyDescent="0.25">
      <c r="A30">
        <v>29</v>
      </c>
      <c r="B30">
        <v>4</v>
      </c>
      <c r="C30">
        <v>2</v>
      </c>
      <c r="D30">
        <f t="shared" si="3"/>
        <v>0.4357298474945534</v>
      </c>
      <c r="E30">
        <v>-4.59</v>
      </c>
      <c r="F30" t="s">
        <v>14</v>
      </c>
      <c r="G30" t="s">
        <v>12</v>
      </c>
      <c r="H30" t="s">
        <v>11</v>
      </c>
      <c r="I30" s="1">
        <v>0.79652777777777772</v>
      </c>
      <c r="J30" s="1">
        <v>0.80208333333333337</v>
      </c>
      <c r="K30">
        <v>-5.18</v>
      </c>
      <c r="L30" s="2">
        <v>46073</v>
      </c>
      <c r="N30">
        <f t="shared" si="1"/>
        <v>-8.7499999999999964</v>
      </c>
      <c r="R30" s="5">
        <f>Q29/S29</f>
        <v>0.58823529411764708</v>
      </c>
      <c r="X30" s="5">
        <f>W29/Y29</f>
        <v>0.40625</v>
      </c>
    </row>
    <row r="31" spans="1:25" x14ac:dyDescent="0.25">
      <c r="A31">
        <v>30</v>
      </c>
      <c r="B31">
        <v>4</v>
      </c>
      <c r="C31">
        <v>2</v>
      </c>
      <c r="D31">
        <f t="shared" si="3"/>
        <v>3.125</v>
      </c>
      <c r="E31">
        <v>12.5</v>
      </c>
      <c r="F31" t="s">
        <v>10</v>
      </c>
      <c r="G31" t="s">
        <v>12</v>
      </c>
      <c r="H31" t="s">
        <v>11</v>
      </c>
      <c r="I31" s="1">
        <v>0.83611111111111114</v>
      </c>
      <c r="J31" s="1">
        <v>0.84305555555555556</v>
      </c>
      <c r="K31">
        <v>13.42</v>
      </c>
      <c r="L31" s="2">
        <v>46073</v>
      </c>
      <c r="N31">
        <f t="shared" si="1"/>
        <v>4.6700000000000035</v>
      </c>
    </row>
    <row r="32" spans="1:25" x14ac:dyDescent="0.25">
      <c r="A32">
        <v>31</v>
      </c>
      <c r="B32">
        <v>4</v>
      </c>
      <c r="C32">
        <v>2</v>
      </c>
      <c r="D32">
        <f t="shared" ref="D32:D41" si="4">IF(E32&gt;0,E32/B32,C32/ABS(E32))</f>
        <v>0.99750000000000005</v>
      </c>
      <c r="E32">
        <v>3.99</v>
      </c>
      <c r="F32" t="s">
        <v>14</v>
      </c>
      <c r="G32" t="s">
        <v>12</v>
      </c>
      <c r="H32" t="s">
        <v>11</v>
      </c>
      <c r="I32" s="1">
        <v>0.71388888888888891</v>
      </c>
      <c r="J32" s="1">
        <v>0.72222222222222221</v>
      </c>
      <c r="K32">
        <v>4.82</v>
      </c>
      <c r="L32" s="2">
        <v>46074</v>
      </c>
      <c r="N32">
        <f t="shared" si="1"/>
        <v>9.4900000000000038</v>
      </c>
    </row>
    <row r="33" spans="1:17" x14ac:dyDescent="0.25">
      <c r="A33">
        <v>32</v>
      </c>
      <c r="B33">
        <v>4</v>
      </c>
      <c r="C33">
        <v>2</v>
      </c>
      <c r="D33">
        <f t="shared" si="4"/>
        <v>0.5</v>
      </c>
      <c r="E33">
        <v>2</v>
      </c>
      <c r="F33" t="s">
        <v>10</v>
      </c>
      <c r="G33" t="s">
        <v>12</v>
      </c>
      <c r="H33" t="s">
        <v>11</v>
      </c>
      <c r="I33" s="1">
        <v>0.7944444444444444</v>
      </c>
      <c r="J33" s="1">
        <v>0.81111111111111112</v>
      </c>
      <c r="K33">
        <v>2.52</v>
      </c>
      <c r="L33" s="2">
        <v>46074</v>
      </c>
      <c r="N33">
        <f t="shared" si="1"/>
        <v>12.010000000000003</v>
      </c>
    </row>
    <row r="34" spans="1:17" x14ac:dyDescent="0.25">
      <c r="A34">
        <v>33</v>
      </c>
      <c r="B34">
        <v>4</v>
      </c>
      <c r="C34">
        <v>2</v>
      </c>
      <c r="D34">
        <f t="shared" si="4"/>
        <v>0.3058103975535168</v>
      </c>
      <c r="E34">
        <v>-6.54</v>
      </c>
      <c r="F34" t="s">
        <v>14</v>
      </c>
      <c r="G34" t="s">
        <v>12</v>
      </c>
      <c r="H34" t="s">
        <v>11</v>
      </c>
      <c r="I34" s="1">
        <v>0.6166666666666667</v>
      </c>
      <c r="J34" s="1">
        <v>0.64652777777777781</v>
      </c>
      <c r="K34">
        <v>-8.36</v>
      </c>
      <c r="L34" s="2">
        <v>46076</v>
      </c>
      <c r="N34">
        <f t="shared" si="1"/>
        <v>3.6500000000000039</v>
      </c>
      <c r="Q34">
        <f>SUMIFS(K:K,I:I,"&gt;10:00",I:I,"&lt;20:00")</f>
        <v>72.8</v>
      </c>
    </row>
    <row r="35" spans="1:17" x14ac:dyDescent="0.25">
      <c r="A35">
        <v>34</v>
      </c>
      <c r="B35">
        <v>4</v>
      </c>
      <c r="C35">
        <v>2</v>
      </c>
      <c r="D35">
        <f t="shared" si="4"/>
        <v>0.13458950201884254</v>
      </c>
      <c r="E35">
        <v>-14.86</v>
      </c>
      <c r="F35" t="s">
        <v>14</v>
      </c>
      <c r="G35" t="s">
        <v>12</v>
      </c>
      <c r="H35" t="s">
        <v>11</v>
      </c>
      <c r="I35" s="1">
        <v>0.65555555555555556</v>
      </c>
      <c r="J35" s="1">
        <v>0.73402777777777772</v>
      </c>
      <c r="K35">
        <v>-17.829999999999998</v>
      </c>
      <c r="L35" s="2">
        <v>46076</v>
      </c>
      <c r="N35">
        <f t="shared" si="1"/>
        <v>-14.179999999999994</v>
      </c>
    </row>
    <row r="36" spans="1:17" x14ac:dyDescent="0.25">
      <c r="A36">
        <v>35</v>
      </c>
      <c r="B36">
        <v>4</v>
      </c>
      <c r="C36">
        <v>2</v>
      </c>
      <c r="D36">
        <f t="shared" si="4"/>
        <v>2.2149999999999999</v>
      </c>
      <c r="E36">
        <v>8.86</v>
      </c>
      <c r="F36" t="s">
        <v>10</v>
      </c>
      <c r="G36" t="s">
        <v>12</v>
      </c>
      <c r="H36" t="s">
        <v>11</v>
      </c>
      <c r="I36" s="1">
        <v>0.92777777777777781</v>
      </c>
      <c r="J36" s="1">
        <v>0.94791666666666663</v>
      </c>
      <c r="K36">
        <v>9.0399999999999991</v>
      </c>
      <c r="L36" s="2">
        <v>46076</v>
      </c>
      <c r="N36">
        <f t="shared" si="1"/>
        <v>-5.1399999999999952</v>
      </c>
    </row>
    <row r="37" spans="1:17" x14ac:dyDescent="0.25">
      <c r="A37">
        <v>36</v>
      </c>
      <c r="B37">
        <v>4</v>
      </c>
      <c r="C37">
        <v>2</v>
      </c>
      <c r="D37">
        <f t="shared" si="4"/>
        <v>0.29239766081871343</v>
      </c>
      <c r="E37">
        <v>-6.84</v>
      </c>
      <c r="F37" t="s">
        <v>14</v>
      </c>
      <c r="G37" t="s">
        <v>12</v>
      </c>
      <c r="H37" t="s">
        <v>11</v>
      </c>
      <c r="I37" s="1">
        <v>0.97430555555555554</v>
      </c>
      <c r="J37" s="1">
        <v>0.97777777777777775</v>
      </c>
      <c r="K37">
        <v>-7.56</v>
      </c>
      <c r="L37" s="2">
        <v>46076</v>
      </c>
      <c r="N37">
        <f t="shared" si="1"/>
        <v>-12.699999999999996</v>
      </c>
    </row>
    <row r="38" spans="1:17" x14ac:dyDescent="0.25">
      <c r="A38">
        <v>37</v>
      </c>
      <c r="B38">
        <v>4</v>
      </c>
      <c r="C38">
        <v>2</v>
      </c>
      <c r="D38">
        <f t="shared" si="4"/>
        <v>4.7125000000000004</v>
      </c>
      <c r="E38">
        <v>18.850000000000001</v>
      </c>
      <c r="F38" t="s">
        <v>14</v>
      </c>
      <c r="G38" t="s">
        <v>12</v>
      </c>
      <c r="H38" t="s">
        <v>11</v>
      </c>
      <c r="I38" s="1">
        <v>0.98819444444444449</v>
      </c>
      <c r="J38" s="1">
        <v>1.5972222222222221E-2</v>
      </c>
      <c r="K38">
        <v>19.23</v>
      </c>
      <c r="L38" s="2">
        <v>46076</v>
      </c>
      <c r="N38">
        <f t="shared" si="1"/>
        <v>6.5300000000000047</v>
      </c>
    </row>
    <row r="39" spans="1:17" x14ac:dyDescent="0.25">
      <c r="A39">
        <v>38</v>
      </c>
      <c r="B39">
        <v>4</v>
      </c>
      <c r="C39">
        <v>2</v>
      </c>
      <c r="D39">
        <f t="shared" si="4"/>
        <v>0.36297640653357532</v>
      </c>
      <c r="E39">
        <v>-5.51</v>
      </c>
      <c r="F39" t="s">
        <v>14</v>
      </c>
      <c r="G39" t="s">
        <v>12</v>
      </c>
      <c r="H39" t="s">
        <v>11</v>
      </c>
      <c r="I39" s="1">
        <v>3.4722222222222224E-2</v>
      </c>
      <c r="J39" s="1">
        <v>0.17499999999999999</v>
      </c>
      <c r="K39">
        <v>-6.77</v>
      </c>
      <c r="L39" s="2">
        <v>46077</v>
      </c>
      <c r="N39">
        <f t="shared" si="1"/>
        <v>-0.23999999999999488</v>
      </c>
    </row>
    <row r="40" spans="1:17" x14ac:dyDescent="0.25">
      <c r="A40">
        <v>39</v>
      </c>
      <c r="B40">
        <v>4</v>
      </c>
      <c r="C40">
        <v>2</v>
      </c>
      <c r="D40">
        <f t="shared" si="4"/>
        <v>8.6918730986527595E-2</v>
      </c>
      <c r="E40">
        <v>-23.01</v>
      </c>
      <c r="F40" t="s">
        <v>14</v>
      </c>
      <c r="G40" t="s">
        <v>12</v>
      </c>
      <c r="H40" t="s">
        <v>11</v>
      </c>
      <c r="I40" s="1">
        <v>0.57847222222222228</v>
      </c>
      <c r="J40" s="1">
        <v>0.60555555555555551</v>
      </c>
      <c r="K40">
        <v>-26.27</v>
      </c>
      <c r="L40" s="2">
        <v>46077</v>
      </c>
      <c r="N40">
        <f t="shared" si="1"/>
        <v>-26.509999999999994</v>
      </c>
    </row>
    <row r="41" spans="1:17" x14ac:dyDescent="0.25">
      <c r="A41">
        <v>40</v>
      </c>
      <c r="B41">
        <v>4</v>
      </c>
      <c r="C41">
        <v>2</v>
      </c>
      <c r="D41">
        <f t="shared" si="4"/>
        <v>17.157499999999999</v>
      </c>
      <c r="E41">
        <v>68.63</v>
      </c>
      <c r="F41" t="s">
        <v>14</v>
      </c>
      <c r="G41" t="s">
        <v>12</v>
      </c>
      <c r="H41" t="s">
        <v>11</v>
      </c>
      <c r="I41" s="1">
        <v>0.72916666666666663</v>
      </c>
      <c r="J41" s="1">
        <v>0.76666666666666672</v>
      </c>
      <c r="K41">
        <v>60.77</v>
      </c>
      <c r="L41" s="2">
        <v>46077</v>
      </c>
      <c r="N41">
        <f t="shared" si="1"/>
        <v>34.260000000000005</v>
      </c>
      <c r="P41" s="5">
        <f>COUNTIF(K:K,"&gt;0")/MAX(A:A)</f>
        <v>0.64</v>
      </c>
    </row>
    <row r="42" spans="1:17" x14ac:dyDescent="0.25">
      <c r="A42">
        <v>41</v>
      </c>
      <c r="B42">
        <v>4</v>
      </c>
      <c r="C42">
        <v>2</v>
      </c>
      <c r="D42">
        <f t="shared" ref="D42:D50" si="5">IF(E42&gt;0,E42/B42,C42/ABS(E42))</f>
        <v>0.17749999999999999</v>
      </c>
      <c r="E42">
        <v>0.71</v>
      </c>
      <c r="F42" t="s">
        <v>10</v>
      </c>
      <c r="G42" t="s">
        <v>12</v>
      </c>
      <c r="H42" t="s">
        <v>11</v>
      </c>
      <c r="I42" s="1">
        <v>0.96527777777777779</v>
      </c>
      <c r="J42" s="1">
        <v>4.791666666666667E-2</v>
      </c>
      <c r="K42">
        <v>1.08</v>
      </c>
      <c r="L42" s="2">
        <v>46078</v>
      </c>
      <c r="N42">
        <f t="shared" si="1"/>
        <v>35.340000000000003</v>
      </c>
    </row>
    <row r="43" spans="1:17" x14ac:dyDescent="0.25">
      <c r="A43">
        <v>42</v>
      </c>
      <c r="B43">
        <v>4</v>
      </c>
      <c r="C43">
        <v>2</v>
      </c>
      <c r="D43">
        <f t="shared" si="5"/>
        <v>3.3174999999999999</v>
      </c>
      <c r="E43">
        <v>13.27</v>
      </c>
      <c r="F43" t="s">
        <v>14</v>
      </c>
      <c r="G43" t="s">
        <v>12</v>
      </c>
      <c r="H43" t="s">
        <v>11</v>
      </c>
      <c r="I43" s="1">
        <v>0.69791666666666663</v>
      </c>
      <c r="J43" s="1">
        <v>0.75208333333333333</v>
      </c>
      <c r="K43">
        <v>20.149999999999999</v>
      </c>
      <c r="L43" s="2">
        <v>46078</v>
      </c>
      <c r="N43">
        <f t="shared" si="1"/>
        <v>55.49</v>
      </c>
    </row>
    <row r="44" spans="1:17" x14ac:dyDescent="0.25">
      <c r="A44">
        <v>43</v>
      </c>
      <c r="B44">
        <v>4</v>
      </c>
      <c r="C44">
        <v>2</v>
      </c>
      <c r="D44">
        <f t="shared" si="5"/>
        <v>1.3825000000000001</v>
      </c>
      <c r="E44">
        <v>5.53</v>
      </c>
      <c r="F44" t="s">
        <v>14</v>
      </c>
      <c r="G44" t="s">
        <v>12</v>
      </c>
      <c r="H44" t="s">
        <v>11</v>
      </c>
      <c r="I44" s="1">
        <v>0.78125</v>
      </c>
      <c r="J44" s="1">
        <v>0.8</v>
      </c>
      <c r="K44">
        <v>9.4700000000000006</v>
      </c>
      <c r="L44" s="2">
        <v>46078</v>
      </c>
      <c r="N44">
        <f t="shared" si="1"/>
        <v>64.960000000000008</v>
      </c>
    </row>
    <row r="45" spans="1:17" x14ac:dyDescent="0.25">
      <c r="A45">
        <v>44</v>
      </c>
      <c r="B45">
        <v>4</v>
      </c>
      <c r="C45">
        <v>2</v>
      </c>
      <c r="D45">
        <f t="shared" si="5"/>
        <v>0.2304147465437788</v>
      </c>
      <c r="E45">
        <v>-8.68</v>
      </c>
      <c r="F45" t="s">
        <v>10</v>
      </c>
      <c r="G45" t="s">
        <v>12</v>
      </c>
      <c r="H45" t="s">
        <v>11</v>
      </c>
      <c r="I45" s="1">
        <v>0.8305555555555556</v>
      </c>
      <c r="J45" s="1">
        <v>0.83125000000000004</v>
      </c>
      <c r="K45">
        <v>-15.59</v>
      </c>
      <c r="L45" s="2">
        <v>46078</v>
      </c>
      <c r="N45">
        <f t="shared" si="1"/>
        <v>49.370000000000005</v>
      </c>
    </row>
    <row r="46" spans="1:17" x14ac:dyDescent="0.25">
      <c r="A46">
        <v>45</v>
      </c>
      <c r="B46">
        <v>4</v>
      </c>
      <c r="C46">
        <v>2</v>
      </c>
      <c r="D46">
        <f t="shared" si="5"/>
        <v>7.25</v>
      </c>
      <c r="E46">
        <v>29</v>
      </c>
      <c r="F46" t="s">
        <v>14</v>
      </c>
      <c r="G46" t="s">
        <v>12</v>
      </c>
      <c r="H46" t="s">
        <v>11</v>
      </c>
      <c r="I46" s="1">
        <v>0.83472222222222225</v>
      </c>
      <c r="J46" s="1">
        <v>0.89444444444444449</v>
      </c>
      <c r="K46">
        <v>47.57</v>
      </c>
      <c r="L46" s="2">
        <v>46078</v>
      </c>
      <c r="N46">
        <f t="shared" si="1"/>
        <v>96.94</v>
      </c>
    </row>
    <row r="47" spans="1:17" x14ac:dyDescent="0.25">
      <c r="A47">
        <v>46</v>
      </c>
      <c r="B47">
        <v>4</v>
      </c>
      <c r="C47">
        <v>2</v>
      </c>
      <c r="D47">
        <f t="shared" si="5"/>
        <v>0.87719298245614041</v>
      </c>
      <c r="E47">
        <v>-2.2799999999999998</v>
      </c>
      <c r="F47" t="s">
        <v>14</v>
      </c>
      <c r="G47" t="s">
        <v>12</v>
      </c>
      <c r="H47" t="s">
        <v>11</v>
      </c>
      <c r="I47" s="1">
        <v>0.90486111111111112</v>
      </c>
      <c r="J47" s="1">
        <v>0.92083333333333328</v>
      </c>
      <c r="K47">
        <v>-4.8499999999999996</v>
      </c>
      <c r="L47" s="2">
        <v>46078</v>
      </c>
      <c r="N47">
        <f>SUM(K47,N46)</f>
        <v>92.09</v>
      </c>
    </row>
    <row r="48" spans="1:17" x14ac:dyDescent="0.25">
      <c r="A48">
        <v>47</v>
      </c>
      <c r="B48">
        <v>4</v>
      </c>
      <c r="C48">
        <v>2</v>
      </c>
      <c r="D48">
        <f t="shared" si="5"/>
        <v>3.8174999999999999</v>
      </c>
      <c r="E48">
        <v>15.27</v>
      </c>
      <c r="F48" t="s">
        <v>10</v>
      </c>
      <c r="G48" t="s">
        <v>12</v>
      </c>
      <c r="H48" t="s">
        <v>11</v>
      </c>
      <c r="I48" s="1">
        <v>0.71250000000000002</v>
      </c>
      <c r="J48" s="1">
        <v>0.82361111111111107</v>
      </c>
      <c r="K48">
        <v>31.75</v>
      </c>
      <c r="L48" s="2">
        <v>46079</v>
      </c>
      <c r="N48">
        <f>SUM(K48,N47)</f>
        <v>123.84</v>
      </c>
    </row>
    <row r="49" spans="1:14" x14ac:dyDescent="0.25">
      <c r="A49">
        <v>48</v>
      </c>
      <c r="B49">
        <v>4</v>
      </c>
      <c r="C49">
        <v>2</v>
      </c>
      <c r="D49">
        <f t="shared" si="5"/>
        <v>7.4999999999999997E-3</v>
      </c>
      <c r="E49">
        <v>0.03</v>
      </c>
      <c r="F49" t="s">
        <v>10</v>
      </c>
      <c r="G49" t="s">
        <v>12</v>
      </c>
      <c r="H49" t="s">
        <v>11</v>
      </c>
      <c r="I49" s="1">
        <v>0.82986111111111116</v>
      </c>
      <c r="J49" s="1">
        <v>0.83194444444444449</v>
      </c>
      <c r="K49">
        <v>0.09</v>
      </c>
      <c r="L49" s="2">
        <v>46079</v>
      </c>
      <c r="N49">
        <f>SUM(K49,N48)</f>
        <v>123.93</v>
      </c>
    </row>
    <row r="50" spans="1:14" x14ac:dyDescent="0.25">
      <c r="A50">
        <v>49</v>
      </c>
      <c r="B50">
        <v>4</v>
      </c>
      <c r="C50">
        <v>2</v>
      </c>
      <c r="D50">
        <f t="shared" si="5"/>
        <v>4.2699999999999996</v>
      </c>
      <c r="E50">
        <v>17.079999999999998</v>
      </c>
      <c r="F50" t="s">
        <v>14</v>
      </c>
      <c r="G50" t="s">
        <v>12</v>
      </c>
      <c r="H50" t="s">
        <v>11</v>
      </c>
      <c r="I50" s="1">
        <v>0.86736111111111114</v>
      </c>
      <c r="J50" s="1">
        <v>9.7916666666666666E-2</v>
      </c>
      <c r="K50">
        <v>45</v>
      </c>
      <c r="L50" s="2">
        <v>46079</v>
      </c>
      <c r="N50">
        <f>SUM(K50,N49)</f>
        <v>168.93</v>
      </c>
    </row>
    <row r="51" spans="1:14" x14ac:dyDescent="0.25">
      <c r="A51">
        <v>50</v>
      </c>
      <c r="B51">
        <v>4</v>
      </c>
      <c r="C51">
        <v>2</v>
      </c>
      <c r="D51" t="e">
        <f t="shared" ref="D51" si="6">IF(E51&gt;0,E51/B51,C51/ABS(E51))</f>
        <v>#DIV/0!</v>
      </c>
    </row>
  </sheetData>
  <mergeCells count="7">
    <mergeCell ref="P22:S22"/>
    <mergeCell ref="S18:V18"/>
    <mergeCell ref="P14:S14"/>
    <mergeCell ref="P15:S15"/>
    <mergeCell ref="V14:Y14"/>
    <mergeCell ref="V15:Y15"/>
    <mergeCell ref="S17:V17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Zahar Shubin</dc:creator>
  <cp:lastModifiedBy>Zahar Shubin</cp:lastModifiedBy>
  <dcterms:created xsi:type="dcterms:W3CDTF">2026-02-11T16:49:01Z</dcterms:created>
  <dcterms:modified xsi:type="dcterms:W3CDTF">2026-02-27T23:23:33Z</dcterms:modified>
</cp:coreProperties>
</file>